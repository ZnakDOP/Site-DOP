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мета техника" sheetId="1" r:id="rId5"/>
    <sheet state="visible" name="ПерсоналЛогистика" sheetId="2" r:id="rId6"/>
  </sheets>
  <definedNames/>
  <calcPr/>
</workbook>
</file>

<file path=xl/sharedStrings.xml><?xml version="1.0" encoding="utf-8"?>
<sst xmlns="http://schemas.openxmlformats.org/spreadsheetml/2006/main" count="82" uniqueCount="75">
  <si>
    <t>Точка Банк блог 16.04</t>
  </si>
  <si>
    <t>Позиция</t>
  </si>
  <si>
    <t>Количество</t>
  </si>
  <si>
    <t>Арендная стоимость за ед.</t>
  </si>
  <si>
    <t>Стоимость комплекта</t>
  </si>
  <si>
    <t>Количество смен</t>
  </si>
  <si>
    <t>Итог без скидки</t>
  </si>
  <si>
    <t>Скидка</t>
  </si>
  <si>
    <t>Итог</t>
  </si>
  <si>
    <t>Znak Rent</t>
  </si>
  <si>
    <t>Камера</t>
  </si>
  <si>
    <r>
      <rPr>
        <rFont val="arial, helvetica, sans-serif"/>
        <color rgb="FF1155CC"/>
        <sz val="10.0"/>
        <u/>
      </rPr>
      <t>Sony ILME-FX3 body</t>
    </r>
  </si>
  <si>
    <t>Комплектующие камеры</t>
  </si>
  <si>
    <r>
      <rPr>
        <rFont val="Arial, sans-serif"/>
        <color rgb="FF1155CC"/>
        <u/>
      </rPr>
      <t>Быстросъемная площадка Tilta 15 мм LWS Baseplate Type II (TA-BSP2-15-G)</t>
    </r>
  </si>
  <si>
    <r>
      <rPr>
        <rFont val="Arial, sans-serif"/>
        <color rgb="FF1155CC"/>
        <u/>
      </rPr>
      <t>Площадка питания V-Mount Tilta Battery Plate v2</t>
    </r>
  </si>
  <si>
    <r>
      <rPr>
        <rFont val="Arial, sans-serif"/>
        <color rgb="FF1155CC"/>
        <u/>
      </rPr>
      <t>Суппорт SmallRig 15mm, длина 200 mm (Сталь)</t>
    </r>
  </si>
  <si>
    <r>
      <rPr>
        <rFont val="Arial, sans-serif"/>
        <color rgb="FF1155CC"/>
        <u/>
      </rPr>
      <t>Аккумулятор V-Mount 140Wh SWIT MINO-S140</t>
    </r>
  </si>
  <si>
    <r>
      <rPr>
        <rFont val="Arial, sans-serif"/>
        <color rgb="FF1155CC"/>
        <u/>
      </rPr>
      <t>Аккумулятор SWIT S-8975 (Sony NP-F970)</t>
    </r>
  </si>
  <si>
    <r>
      <rPr>
        <rFont val="Arial, sans-serif"/>
        <color rgb="FF1155CC"/>
        <u/>
      </rPr>
      <t>Аккумулятор Sony NP-FZ100</t>
    </r>
  </si>
  <si>
    <r>
      <rPr>
        <rFont val="Arial, sans-serif"/>
        <color rgb="FF1155CC"/>
        <u/>
      </rPr>
      <t>Аккумулятор Deity NP-F550 (DNPF550)</t>
    </r>
  </si>
  <si>
    <r>
      <rPr>
        <rFont val="Arial, sans-serif"/>
        <color rgb="FF1155CC"/>
        <u/>
      </rPr>
      <t>Аккумулятор SWIT S-8975 (Sony NP-F970)</t>
    </r>
  </si>
  <si>
    <r>
      <rPr>
        <rFont val="Arial, sans-serif"/>
        <color rgb="FF1155CC"/>
        <u/>
      </rPr>
      <t>Адаптер питания Tilta USB-C/Sony NP-FZ100 (витой) 1 м</t>
    </r>
  </si>
  <si>
    <r>
      <rPr>
        <rFont val="Arial"/>
        <color rgb="FF1155CC"/>
        <u/>
      </rPr>
      <t>Поддержка объективов SmallRig</t>
    </r>
  </si>
  <si>
    <r>
      <rPr>
        <rFont val="Arial, sans-serif"/>
        <color rgb="FF1155CC"/>
        <u/>
      </rPr>
      <t>Адаптер питания Wooden Camera D-Tap/DC-12V Sony FS5/FS7</t>
    </r>
  </si>
  <si>
    <r>
      <rPr>
        <color rgb="FF1155CC"/>
        <u/>
      </rPr>
      <t>Карта памяти Sandisk SDXC II 256Gb V90 300Mb/s</t>
    </r>
  </si>
  <si>
    <t>Монитор накамерный Lilliput 7S (HDMI in/out) 7</t>
  </si>
  <si>
    <t>Стабилизация/Штативы</t>
  </si>
  <si>
    <t>Видеоштатив SmallRig 3751B</t>
  </si>
  <si>
    <t>Объективы/Фильтры</t>
  </si>
  <si>
    <r>
      <rPr>
        <rFont val="Arial"/>
        <color rgb="FF1155CC"/>
        <u/>
      </rPr>
      <t>Tamron 28-75 f/2.8 Di III VXD G2 (Sony E)</t>
    </r>
  </si>
  <si>
    <r>
      <rPr>
        <rFont val="arial, helvetica, sans-serif"/>
        <color rgb="FF1155CC"/>
        <sz val="10.0"/>
        <u/>
      </rPr>
      <t>Sony FE 16-35 f/2.8 GM II (SEL1635GM2)</t>
    </r>
  </si>
  <si>
    <t>Мониторы/Передача изображения</t>
  </si>
  <si>
    <r>
      <rPr>
        <rFont val="Arial, sans-serif"/>
        <color rgb="FF1155CC"/>
        <u/>
      </rPr>
      <t>Видеокабель Ultra Slim 4K HDMI-HDMI 4K 0,5 м SmallRig 2957 (тонкий)</t>
    </r>
  </si>
  <si>
    <r>
      <rPr>
        <rFont val="arial, helvetica, sans-serif"/>
        <color rgb="FF1155CC"/>
        <sz val="10.0"/>
        <u/>
      </rPr>
      <t>Видеокабель HDMI-HDMI AOPen (20 м.)</t>
    </r>
  </si>
  <si>
    <r>
      <rPr>
        <rFont val="Arial, sans-serif"/>
        <color rgb="FF1155CC"/>
        <u/>
      </rPr>
      <t>Монитор Accsoon CineView M7 Pro</t>
    </r>
  </si>
  <si>
    <r>
      <rPr>
        <color rgb="FF1155CC"/>
        <u/>
      </rPr>
      <t>Видеосендер Accsoon CineView Master 4K</t>
    </r>
  </si>
  <si>
    <t>Прочее</t>
  </si>
  <si>
    <r>
      <rPr>
        <rFont val="Arial, sans-serif"/>
        <color rgb="FF1155CC"/>
        <u/>
      </rPr>
      <t>Держатель шарнирный Manfrotto 244MINI Magic Arm</t>
    </r>
  </si>
  <si>
    <r>
      <rPr>
        <color rgb="FF1155CC"/>
        <u/>
      </rPr>
      <t>Рация WLN KD-C1 Plus</t>
    </r>
  </si>
  <si>
    <t>Беспроводной интерком Hollyland Solidcom SE (5 абонентов)</t>
  </si>
  <si>
    <t>Картридер Lexar (SD/microSD) to USB-C</t>
  </si>
  <si>
    <r>
      <rPr>
        <rFont val="Arial, sans-serif"/>
        <color rgb="FF1155CC"/>
        <u/>
      </rPr>
      <t>Сетевой удлинитель на катушке 10 м (2200 W)</t>
    </r>
  </si>
  <si>
    <t>Zoom Prokat</t>
  </si>
  <si>
    <r>
      <rPr>
        <rFont val="arial, helvetica, sans-serif"/>
        <color rgb="FF1155CC"/>
        <sz val="10.0"/>
        <u/>
      </rPr>
      <t>Sony ILME-FX3 body</t>
    </r>
  </si>
  <si>
    <r>
      <rPr>
        <rFont val="Arial, sans-serif"/>
        <color rgb="FF1155CC"/>
        <u/>
      </rPr>
      <t>Аккумулятор V-Mount 140Wh SWIT MINO-S140</t>
    </r>
  </si>
  <si>
    <r>
      <rPr>
        <color rgb="FF1155CC"/>
        <u/>
      </rPr>
      <t>Видеоголова Sachtler System DV 10 SB (комбинированная полусфера 100 мм)</t>
    </r>
  </si>
  <si>
    <t>Рельсы Dolly, сталь 42 мм, длина 3 метра</t>
  </si>
  <si>
    <r>
      <rPr>
        <rFont val="arial, helvetica, sans-serif"/>
        <color rgb="FF1155CC"/>
        <sz val="10.0"/>
        <u/>
      </rPr>
      <t>Штативный комплект Sachtler System Ace M GS</t>
    </r>
  </si>
  <si>
    <r>
      <rPr>
        <color rgb="FF1155CC"/>
        <u/>
      </rPr>
      <t>Штативный комплект Sachtler System DV 10/3+3 SB ENG 2 D</t>
    </r>
  </si>
  <si>
    <r>
      <rPr>
        <color rgb="FF1155CC"/>
        <u/>
      </rPr>
      <t>Рельсовая тележка MOVMAX Grip Dolly Pro</t>
    </r>
  </si>
  <si>
    <r>
      <rPr>
        <color rgb="FF1155CC"/>
        <u/>
      </rPr>
      <t>Sony FE 70-200 f/2.8 GM OSS II (SEL70200GM2)</t>
    </r>
  </si>
  <si>
    <r>
      <rPr>
        <color rgb="FF1155CC"/>
        <u/>
      </rPr>
      <t>Фильтр NiSi Black Mist 1/4 82 мм</t>
    </r>
  </si>
  <si>
    <r>
      <rPr>
        <rFont val="arial, helvetica, sans-serif"/>
        <color rgb="FF1155CC"/>
        <u/>
      </rPr>
      <t>Монитор режиссерский Lilliput BM280-4KS 28 4K</t>
    </r>
  </si>
  <si>
    <r>
      <rPr>
        <color rgb="FF1155CC"/>
        <u/>
      </rPr>
      <t>Монитор накамерный Portkeys BM5-III WR (SDI in/out, HDMI in) 5</t>
    </r>
  </si>
  <si>
    <r>
      <rPr>
        <rFont val="arial, helvetica, sans-serif"/>
        <color rgb="FF1155CC"/>
        <u/>
      </rPr>
      <t>Видеосендер DJI SDR Transmission Combo (до 2 км)</t>
    </r>
  </si>
  <si>
    <r>
      <rPr>
        <rFont val="arial, helvetica, sans-serif"/>
        <color rgb="FF1155CC"/>
        <sz val="10.0"/>
        <u/>
      </rPr>
      <t>Телесуфлер TELEVIEW TLW-LCD190LK</t>
    </r>
  </si>
  <si>
    <r>
      <rPr>
        <color rgb="FF1155CC"/>
        <u/>
      </rPr>
      <t>Видеокабель HDMI-HDMI (1 м.)</t>
    </r>
  </si>
  <si>
    <t>Общий итог</t>
  </si>
  <si>
    <t>Название</t>
  </si>
  <si>
    <t>Наименование</t>
  </si>
  <si>
    <t>Кол-во</t>
  </si>
  <si>
    <t>Тарифная олата/ед.</t>
  </si>
  <si>
    <t>Итого по комплекту</t>
  </si>
  <si>
    <t>Кол-во смен</t>
  </si>
  <si>
    <t>Итого, руб.</t>
  </si>
  <si>
    <t>Логистика</t>
  </si>
  <si>
    <t>Такси</t>
  </si>
  <si>
    <t>Итого сумма Логистика (без налога)</t>
  </si>
  <si>
    <t>Персонал</t>
  </si>
  <si>
    <t>Оперпост</t>
  </si>
  <si>
    <t>Камерамен</t>
  </si>
  <si>
    <t>Механик</t>
  </si>
  <si>
    <t>Гафер</t>
  </si>
  <si>
    <t>Осветитель</t>
  </si>
  <si>
    <t>Итого сумма Персонал (без налога)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</si>
</sst>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u/>
      <sz val="12.0"/>
      <color rgb="FF000000"/>
      <name val="Oswald"/>
    </font>
    <font>
      <color rgb="FF000000"/>
      <name val="Arial"/>
    </font>
    <font>
      <sz val="11.0"/>
      <color rgb="FF000000"/>
      <name val="Oswald"/>
    </font>
    <font>
      <b/>
      <color rgb="FF000000"/>
      <name val="Arial"/>
    </font>
    <font>
      <sz val="11.0"/>
      <color theme="1"/>
      <name val="Oswald"/>
    </font>
    <font>
      <u/>
      <sz val="10.0"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color theme="1"/>
      <name val="Arial"/>
    </font>
    <font>
      <u/>
      <color rgb="FF0000FF"/>
    </font>
    <font>
      <u/>
      <color rgb="FF1155CC"/>
      <name val="Arial"/>
      <scheme val="minor"/>
    </font>
    <font>
      <color theme="1"/>
      <name val="Arial"/>
      <scheme val="minor"/>
    </font>
    <font>
      <u/>
      <sz val="10.0"/>
      <color rgb="FF0000FF"/>
      <name val="Arial"/>
    </font>
    <font>
      <u/>
      <color rgb="FF0000FF"/>
    </font>
    <font>
      <u/>
      <color rgb="FF0000FF"/>
      <name val="Arial"/>
    </font>
    <font>
      <u/>
      <color rgb="FF1155CC"/>
      <name val="Arial"/>
    </font>
    <font>
      <b/>
      <i/>
      <color rgb="FF000000"/>
      <name val="Arial"/>
    </font>
    <font>
      <u/>
      <sz val="10.0"/>
      <color rgb="FF1155CC"/>
      <name val="Arial"/>
    </font>
    <font>
      <u/>
      <color rgb="FF1155CC"/>
      <name val="Arial"/>
    </font>
    <font>
      <u/>
      <color rgb="FF1155CC"/>
      <name val="Arial"/>
    </font>
    <font>
      <sz val="12.0"/>
      <color theme="1"/>
      <name val="Oswald"/>
    </font>
    <font/>
    <font>
      <sz val="12.0"/>
      <color theme="1"/>
      <name val="Calibri"/>
    </font>
    <font>
      <b/>
      <sz val="12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B3CEFB"/>
        <bgColor rgb="FFB3CEFB"/>
      </patternFill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D0E0E3"/>
        <bgColor rgb="FFD0E0E3"/>
      </patternFill>
    </fill>
    <fill>
      <patternFill patternType="solid">
        <fgColor rgb="FFC27BA0"/>
        <bgColor rgb="FFC27BA0"/>
      </patternFill>
    </fill>
    <fill>
      <patternFill patternType="solid">
        <fgColor rgb="FFA2C4C9"/>
        <bgColor rgb="FFA2C4C9"/>
      </patternFill>
    </fill>
    <fill>
      <patternFill patternType="solid">
        <fgColor rgb="FFA6E3B7"/>
        <bgColor rgb="FFA6E3B7"/>
      </patternFill>
    </fill>
    <fill>
      <patternFill patternType="solid">
        <fgColor rgb="FF9FC5E8"/>
        <bgColor rgb="FF9FC5E8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shrinkToFit="0" vertical="bottom" wrapText="0"/>
    </xf>
    <xf borderId="0" fillId="3" fontId="3" numFmtId="0" xfId="0" applyAlignment="1" applyFill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shrinkToFit="0" vertical="center" wrapText="0"/>
    </xf>
    <xf borderId="0" fillId="5" fontId="5" numFmtId="0" xfId="0" applyAlignment="1" applyFill="1" applyFont="1">
      <alignment horizontal="center" readingOrder="0" shrinkToFit="0" vertical="center" wrapText="0"/>
    </xf>
    <xf borderId="0" fillId="6" fontId="6" numFmtId="0" xfId="0" applyAlignment="1" applyFill="1" applyFont="1">
      <alignment horizontal="left" readingOrder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6" fontId="7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vertical="bottom"/>
    </xf>
    <xf borderId="0" fillId="0" fontId="10" numFmtId="0" xfId="0" applyAlignment="1" applyFont="1">
      <alignment horizontal="center" vertical="bottom"/>
    </xf>
    <xf borderId="0" fillId="0" fontId="10" numFmtId="0" xfId="0" applyAlignment="1" applyFont="1">
      <alignment horizontal="center" readingOrder="0" vertical="bottom"/>
    </xf>
    <xf borderId="0" fillId="6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0" numFmtId="0" xfId="0" applyAlignment="1" applyFont="1">
      <alignment readingOrder="0" shrinkToFit="0" vertical="bottom" wrapText="0"/>
    </xf>
    <xf borderId="0" fillId="5" fontId="3" numFmtId="0" xfId="0" applyAlignment="1" applyFont="1">
      <alignment horizontal="center" readingOrder="0" shrinkToFit="0" vertical="center" wrapText="0"/>
    </xf>
    <xf borderId="0" fillId="0" fontId="13" numFmtId="0" xfId="0" applyAlignment="1" applyFont="1">
      <alignment readingOrder="0"/>
    </xf>
    <xf borderId="0" fillId="0" fontId="13" numFmtId="0" xfId="0" applyAlignment="1" applyFont="1">
      <alignment horizontal="center" readingOrder="0"/>
    </xf>
    <xf borderId="0" fillId="0" fontId="14" numFmtId="0" xfId="0" applyAlignment="1" applyFont="1">
      <alignment horizontal="left"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7" numFmtId="0" xfId="0" applyAlignment="1" applyFont="1">
      <alignment vertical="bottom"/>
    </xf>
    <xf borderId="0" fillId="0" fontId="10" numFmtId="0" xfId="0" applyAlignment="1" applyFont="1">
      <alignment horizontal="center" vertical="bottom"/>
    </xf>
    <xf borderId="0" fillId="0" fontId="2" numFmtId="0" xfId="0" applyAlignment="1" applyFont="1">
      <alignment horizontal="center" shrinkToFit="0" vertical="bottom" wrapText="0"/>
    </xf>
    <xf borderId="0" fillId="7" fontId="4" numFmtId="0" xfId="0" applyAlignment="1" applyFill="1" applyFont="1">
      <alignment horizontal="center" readingOrder="0" shrinkToFit="0" vertical="bottom" wrapText="0"/>
    </xf>
    <xf borderId="0" fillId="7" fontId="18" numFmtId="0" xfId="0" applyAlignment="1" applyFont="1">
      <alignment horizontal="center" readingOrder="0" shrinkToFit="0" vertical="bottom" wrapText="0"/>
    </xf>
    <xf borderId="0" fillId="8" fontId="4" numFmtId="0" xfId="0" applyAlignment="1" applyFill="1" applyFont="1">
      <alignment horizontal="center" readingOrder="0" shrinkToFit="0" vertical="center" wrapText="0"/>
    </xf>
    <xf borderId="0" fillId="0" fontId="19" numFmtId="0" xfId="0" applyAlignment="1" applyFont="1">
      <alignment horizontal="left" readingOrder="0"/>
    </xf>
    <xf borderId="0" fillId="0" fontId="20" numFmtId="0" xfId="0" applyAlignment="1" applyFont="1">
      <alignment vertical="bottom"/>
    </xf>
    <xf borderId="0" fillId="0" fontId="21" numFmtId="0" xfId="0" applyAlignment="1" applyFont="1">
      <alignment vertical="bottom"/>
    </xf>
    <xf borderId="0" fillId="9" fontId="4" numFmtId="0" xfId="0" applyAlignment="1" applyFill="1" applyFont="1">
      <alignment readingOrder="0" shrinkToFit="0" vertical="bottom" wrapText="0"/>
    </xf>
    <xf borderId="0" fillId="9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shrinkToFit="0" vertical="bottom" wrapText="0"/>
    </xf>
    <xf borderId="1" fillId="4" fontId="22" numFmtId="0" xfId="0" applyAlignment="1" applyBorder="1" applyFont="1">
      <alignment horizontal="center" readingOrder="0" vertical="center"/>
    </xf>
    <xf borderId="2" fillId="0" fontId="23" numFmtId="0" xfId="0" applyBorder="1" applyFont="1"/>
    <xf borderId="3" fillId="0" fontId="23" numFmtId="0" xfId="0" applyBorder="1" applyFont="1"/>
    <xf borderId="4" fillId="10" fontId="5" numFmtId="0" xfId="0" applyAlignment="1" applyBorder="1" applyFill="1" applyFont="1">
      <alignment horizontal="center" shrinkToFit="0" vertical="center" wrapText="1"/>
    </xf>
    <xf borderId="1" fillId="11" fontId="22" numFmtId="0" xfId="0" applyAlignment="1" applyBorder="1" applyFill="1" applyFont="1">
      <alignment horizontal="center" shrinkToFit="0" vertical="center" wrapText="1"/>
    </xf>
    <xf borderId="4" fillId="0" fontId="10" numFmtId="0" xfId="0" applyAlignment="1" applyBorder="1" applyFont="1">
      <alignment readingOrder="0" vertical="bottom"/>
    </xf>
    <xf borderId="4" fillId="12" fontId="24" numFmtId="0" xfId="0" applyAlignment="1" applyBorder="1" applyFill="1" applyFont="1">
      <alignment horizontal="center" readingOrder="0" shrinkToFit="0" vertical="bottom" wrapText="1"/>
    </xf>
    <xf borderId="4" fillId="12" fontId="24" numFmtId="3" xfId="0" applyAlignment="1" applyBorder="1" applyFont="1" applyNumberFormat="1">
      <alignment horizontal="center" readingOrder="0" shrinkToFit="0" vertical="bottom" wrapText="1"/>
    </xf>
    <xf borderId="4" fillId="12" fontId="24" numFmtId="3" xfId="0" applyAlignment="1" applyBorder="1" applyFont="1" applyNumberFormat="1">
      <alignment horizontal="center" shrinkToFit="0" vertical="bottom" wrapText="1"/>
    </xf>
    <xf borderId="4" fillId="0" fontId="24" numFmtId="0" xfId="0" applyAlignment="1" applyBorder="1" applyFont="1">
      <alignment horizontal="center" readingOrder="0" shrinkToFit="0" vertical="bottom" wrapText="1"/>
    </xf>
    <xf borderId="4" fillId="7" fontId="25" numFmtId="0" xfId="0" applyAlignment="1" applyBorder="1" applyFont="1">
      <alignment vertical="bottom"/>
    </xf>
    <xf borderId="4" fillId="7" fontId="10" numFmtId="0" xfId="0" applyAlignment="1" applyBorder="1" applyFont="1">
      <alignment vertical="bottom"/>
    </xf>
    <xf borderId="4" fillId="7" fontId="25" numFmtId="3" xfId="0" applyAlignment="1" applyBorder="1" applyFont="1" applyNumberFormat="1">
      <alignment horizontal="center" vertical="bottom"/>
    </xf>
    <xf borderId="1" fillId="13" fontId="22" numFmtId="0" xfId="0" applyAlignment="1" applyBorder="1" applyFill="1" applyFont="1">
      <alignment horizontal="center" vertical="center"/>
    </xf>
    <xf borderId="4" fillId="12" fontId="24" numFmtId="0" xfId="0" applyAlignment="1" applyBorder="1" applyFont="1">
      <alignment readingOrder="0" shrinkToFit="0" vertical="bottom" wrapText="1"/>
    </xf>
    <xf borderId="4" fillId="12" fontId="24" numFmtId="0" xfId="0" applyAlignment="1" applyBorder="1" applyFont="1">
      <alignment horizontal="center" shrinkToFit="0" vertical="bottom" wrapText="1"/>
    </xf>
    <xf borderId="4" fillId="0" fontId="24" numFmtId="0" xfId="0" applyAlignment="1" applyBorder="1" applyFont="1">
      <alignment horizontal="center" shrinkToFit="0" vertical="bottom" wrapText="1"/>
    </xf>
    <xf borderId="4" fillId="12" fontId="24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zoom-prokat.ru/index.php?productID=3053" TargetMode="External"/><Relationship Id="rId22" Type="http://schemas.openxmlformats.org/officeDocument/2006/relationships/hyperlink" Target="https://zoom-prokat.ru/index.php?productID=1509" TargetMode="External"/><Relationship Id="rId21" Type="http://schemas.openxmlformats.org/officeDocument/2006/relationships/hyperlink" Target="https://zoom-prokat.ru/index.php?productID=4667" TargetMode="External"/><Relationship Id="rId24" Type="http://schemas.openxmlformats.org/officeDocument/2006/relationships/hyperlink" Target="https://zoom-prokat.ru/index.php?productID=4473" TargetMode="External"/><Relationship Id="rId23" Type="http://schemas.openxmlformats.org/officeDocument/2006/relationships/hyperlink" Target="https://zoom-prokat.ru/index.php?productID=3446" TargetMode="External"/><Relationship Id="rId1" Type="http://schemas.openxmlformats.org/officeDocument/2006/relationships/hyperlink" Target="https://zoom-prokat.ru/index.php?productID=3446" TargetMode="External"/><Relationship Id="rId2" Type="http://schemas.openxmlformats.org/officeDocument/2006/relationships/hyperlink" Target="https://zoom-prokat.ru/index.php?productID=3204" TargetMode="External"/><Relationship Id="rId3" Type="http://schemas.openxmlformats.org/officeDocument/2006/relationships/hyperlink" Target="https://zoom-prokat.ru/index.php?productID=3082" TargetMode="External"/><Relationship Id="rId4" Type="http://schemas.openxmlformats.org/officeDocument/2006/relationships/hyperlink" Target="https://zoom-prokat.ru/index.php?productID=4671" TargetMode="External"/><Relationship Id="rId9" Type="http://schemas.openxmlformats.org/officeDocument/2006/relationships/hyperlink" Target="https://zoom-prokat.ru/index.php?productID=3886" TargetMode="External"/><Relationship Id="rId26" Type="http://schemas.openxmlformats.org/officeDocument/2006/relationships/hyperlink" Target="https://zoom-prokat.ru/index.php?productID=2182" TargetMode="External"/><Relationship Id="rId25" Type="http://schemas.openxmlformats.org/officeDocument/2006/relationships/hyperlink" Target="https://zoom-prokat.ru/index.php?productID=4087" TargetMode="External"/><Relationship Id="rId28" Type="http://schemas.openxmlformats.org/officeDocument/2006/relationships/hyperlink" Target="https://zoom-prokat.ru/index.php?productID=4835" TargetMode="External"/><Relationship Id="rId27" Type="http://schemas.openxmlformats.org/officeDocument/2006/relationships/hyperlink" Target="https://zoom-prokat.ru/index.php?productID=5173" TargetMode="External"/><Relationship Id="rId5" Type="http://schemas.openxmlformats.org/officeDocument/2006/relationships/hyperlink" Target="https://zoom-prokat.ru/index.php?productID=4473" TargetMode="External"/><Relationship Id="rId6" Type="http://schemas.openxmlformats.org/officeDocument/2006/relationships/hyperlink" Target="https://zoom-prokat.ru/index.php?productID=3886" TargetMode="External"/><Relationship Id="rId29" Type="http://schemas.openxmlformats.org/officeDocument/2006/relationships/hyperlink" Target="https://zoom-prokat.ru/index.php?productID=3956" TargetMode="External"/><Relationship Id="rId7" Type="http://schemas.openxmlformats.org/officeDocument/2006/relationships/hyperlink" Target="https://zoom-prokat.ru/index.php?productID=2691" TargetMode="External"/><Relationship Id="rId8" Type="http://schemas.openxmlformats.org/officeDocument/2006/relationships/hyperlink" Target="https://zoom-prokat.ru/index.php?productID=4731" TargetMode="External"/><Relationship Id="rId31" Type="http://schemas.openxmlformats.org/officeDocument/2006/relationships/hyperlink" Target="https://zoom-prokat.ru/index.php?productID=3283" TargetMode="External"/><Relationship Id="rId30" Type="http://schemas.openxmlformats.org/officeDocument/2006/relationships/hyperlink" Target="https://zoom-prokat.ru/index.php?productID=3464" TargetMode="External"/><Relationship Id="rId11" Type="http://schemas.openxmlformats.org/officeDocument/2006/relationships/hyperlink" Target="https://www.rentaphoto.ru/catalog/operatorskoe-oborudovanie/obves-dlya-kamery/podderzhka-obektivov/podderzhka-obektivov-smallrig/" TargetMode="External"/><Relationship Id="rId33" Type="http://schemas.openxmlformats.org/officeDocument/2006/relationships/hyperlink" Target="https://zoom-prokat.ru/index.php?productID=4886" TargetMode="External"/><Relationship Id="rId10" Type="http://schemas.openxmlformats.org/officeDocument/2006/relationships/hyperlink" Target="https://zoom-prokat.ru/index.php?productID=4305" TargetMode="External"/><Relationship Id="rId32" Type="http://schemas.openxmlformats.org/officeDocument/2006/relationships/hyperlink" Target="https://zoom-prokat.ru/index.php?productID=3492" TargetMode="External"/><Relationship Id="rId13" Type="http://schemas.openxmlformats.org/officeDocument/2006/relationships/hyperlink" Target="https://zoom-prokat.ru/index.php?productID=5364" TargetMode="External"/><Relationship Id="rId35" Type="http://schemas.openxmlformats.org/officeDocument/2006/relationships/hyperlink" Target="https://zoom-prokat.ru/index.php?productID=2021" TargetMode="External"/><Relationship Id="rId12" Type="http://schemas.openxmlformats.org/officeDocument/2006/relationships/hyperlink" Target="https://zoom-prokat.ru/index.php?productID=2994" TargetMode="External"/><Relationship Id="rId34" Type="http://schemas.openxmlformats.org/officeDocument/2006/relationships/hyperlink" Target="https://zoom-prokat.ru/index.php?productID=3167" TargetMode="External"/><Relationship Id="rId15" Type="http://schemas.openxmlformats.org/officeDocument/2006/relationships/hyperlink" Target="https://zoom-prokat.ru/index.php?productID=3585" TargetMode="External"/><Relationship Id="rId14" Type="http://schemas.openxmlformats.org/officeDocument/2006/relationships/hyperlink" Target="https://zoom-prokat.ru/index.php?productID=4508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s://www.rentaphoto.ru/catalog/operatorskoe-oborudovanie/videorekordery-i-monitory/nakamernye-monitory/monitor-accsoon-cineview-m7-pro/" TargetMode="External"/><Relationship Id="rId16" Type="http://schemas.openxmlformats.org/officeDocument/2006/relationships/hyperlink" Target="https://zoom-prokat.ru/index.php?productID=4624" TargetMode="External"/><Relationship Id="rId19" Type="http://schemas.openxmlformats.org/officeDocument/2006/relationships/hyperlink" Target="https://zoom-prokat.ru/index.php?productID=2522" TargetMode="External"/><Relationship Id="rId18" Type="http://schemas.openxmlformats.org/officeDocument/2006/relationships/hyperlink" Target="https://www.rentaphoto.ru/catalog/operatorskoe-oborudovanie/peredacha-videosignala/besprovodnoy-signal/videosender-cineview-master-4k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25"/>
    <col customWidth="1" min="2" max="2" width="11.0"/>
    <col customWidth="1" min="3" max="3" width="23.25"/>
    <col customWidth="1" min="4" max="4" width="17.75"/>
    <col customWidth="1" min="5" max="5" width="14.88"/>
    <col customWidth="1" min="6" max="6" width="14.0"/>
    <col customWidth="1" min="7" max="7" width="8.38"/>
    <col customWidth="1" min="8" max="8" width="10.38"/>
  </cols>
  <sheetData>
    <row r="1" ht="37.5" customHeight="1">
      <c r="A1" s="1" t="s">
        <v>0</v>
      </c>
      <c r="I1" s="2"/>
      <c r="J1" s="2"/>
      <c r="K1" s="2"/>
      <c r="L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2"/>
      <c r="J2" s="2"/>
      <c r="K2" s="2"/>
      <c r="L2" s="2"/>
    </row>
    <row r="3" ht="21.0" customHeight="1">
      <c r="A3" s="4" t="s">
        <v>9</v>
      </c>
      <c r="I3" s="2"/>
      <c r="J3" s="2"/>
      <c r="K3" s="2"/>
      <c r="L3" s="2"/>
    </row>
    <row r="4">
      <c r="A4" s="5" t="s">
        <v>10</v>
      </c>
      <c r="I4" s="2"/>
      <c r="J4" s="2"/>
      <c r="K4" s="2"/>
      <c r="L4" s="2"/>
    </row>
    <row r="5">
      <c r="A5" s="6" t="s">
        <v>11</v>
      </c>
      <c r="B5" s="7">
        <v>2.0</v>
      </c>
      <c r="C5" s="7">
        <v>3890.0</v>
      </c>
      <c r="D5" s="8">
        <f>B5*C5</f>
        <v>7780</v>
      </c>
      <c r="E5" s="7">
        <v>1.0</v>
      </c>
      <c r="F5" s="7">
        <f>D5*E5</f>
        <v>7780</v>
      </c>
      <c r="G5" s="7">
        <v>30.0</v>
      </c>
      <c r="H5" s="7">
        <f>F5* (1-G5%)</f>
        <v>5446</v>
      </c>
      <c r="I5" s="2"/>
      <c r="J5" s="2"/>
      <c r="K5" s="2"/>
      <c r="L5" s="2"/>
    </row>
    <row r="6">
      <c r="A6" s="5" t="s">
        <v>12</v>
      </c>
      <c r="I6" s="9"/>
      <c r="J6" s="9"/>
      <c r="K6" s="2"/>
      <c r="L6" s="2"/>
    </row>
    <row r="7">
      <c r="A7" s="10" t="s">
        <v>13</v>
      </c>
      <c r="B7" s="7">
        <v>3.0</v>
      </c>
      <c r="C7" s="7">
        <v>780.0</v>
      </c>
      <c r="D7" s="8">
        <f t="shared" ref="D7:D19" si="1">B7*C7</f>
        <v>2340</v>
      </c>
      <c r="E7" s="7">
        <v>1.0</v>
      </c>
      <c r="F7" s="7">
        <f t="shared" ref="F7:F19" si="2">D7*E7</f>
        <v>2340</v>
      </c>
      <c r="G7" s="7">
        <v>30.0</v>
      </c>
      <c r="H7" s="7">
        <f t="shared" ref="H7:H19" si="3">F7* (1-G7%)</f>
        <v>1638</v>
      </c>
      <c r="I7" s="2"/>
      <c r="J7" s="2"/>
      <c r="K7" s="2"/>
      <c r="L7" s="2"/>
    </row>
    <row r="8">
      <c r="A8" s="10" t="s">
        <v>14</v>
      </c>
      <c r="B8" s="7">
        <v>3.0</v>
      </c>
      <c r="C8" s="7">
        <v>790.0</v>
      </c>
      <c r="D8" s="8">
        <f t="shared" si="1"/>
        <v>2370</v>
      </c>
      <c r="E8" s="7">
        <v>1.0</v>
      </c>
      <c r="F8" s="7">
        <f t="shared" si="2"/>
        <v>2370</v>
      </c>
      <c r="G8" s="7">
        <v>30.0</v>
      </c>
      <c r="H8" s="7">
        <f t="shared" si="3"/>
        <v>1659</v>
      </c>
      <c r="I8" s="2"/>
      <c r="J8" s="2"/>
      <c r="K8" s="2"/>
      <c r="L8" s="2"/>
    </row>
    <row r="9">
      <c r="A9" s="10" t="s">
        <v>15</v>
      </c>
      <c r="B9" s="7">
        <v>6.0</v>
      </c>
      <c r="C9" s="7">
        <v>190.0</v>
      </c>
      <c r="D9" s="8">
        <f t="shared" si="1"/>
        <v>1140</v>
      </c>
      <c r="E9" s="7">
        <v>1.0</v>
      </c>
      <c r="F9" s="7">
        <f t="shared" si="2"/>
        <v>1140</v>
      </c>
      <c r="G9" s="7">
        <v>30.0</v>
      </c>
      <c r="H9" s="7">
        <f t="shared" si="3"/>
        <v>798</v>
      </c>
      <c r="I9" s="2"/>
      <c r="J9" s="2"/>
      <c r="K9" s="2"/>
      <c r="L9" s="2"/>
    </row>
    <row r="10">
      <c r="A10" s="10" t="s">
        <v>16</v>
      </c>
      <c r="B10" s="7">
        <v>4.0</v>
      </c>
      <c r="C10" s="7">
        <v>490.0</v>
      </c>
      <c r="D10" s="8">
        <f t="shared" si="1"/>
        <v>1960</v>
      </c>
      <c r="E10" s="7">
        <v>1.0</v>
      </c>
      <c r="F10" s="7">
        <f t="shared" si="2"/>
        <v>1960</v>
      </c>
      <c r="G10" s="7">
        <v>30.0</v>
      </c>
      <c r="H10" s="7">
        <f t="shared" si="3"/>
        <v>1372</v>
      </c>
      <c r="I10" s="2"/>
      <c r="J10" s="2"/>
      <c r="K10" s="2"/>
      <c r="L10" s="2"/>
    </row>
    <row r="11">
      <c r="A11" s="11" t="s">
        <v>17</v>
      </c>
      <c r="B11" s="7">
        <v>1.0</v>
      </c>
      <c r="C11" s="7">
        <v>400.0</v>
      </c>
      <c r="D11" s="8">
        <f t="shared" si="1"/>
        <v>400</v>
      </c>
      <c r="E11" s="7">
        <v>1.0</v>
      </c>
      <c r="F11" s="7">
        <f t="shared" si="2"/>
        <v>400</v>
      </c>
      <c r="G11" s="7">
        <v>30.0</v>
      </c>
      <c r="H11" s="7">
        <f t="shared" si="3"/>
        <v>280</v>
      </c>
      <c r="I11" s="2"/>
      <c r="J11" s="2"/>
      <c r="K11" s="2"/>
      <c r="L11" s="2"/>
    </row>
    <row r="12">
      <c r="A12" s="12" t="s">
        <v>18</v>
      </c>
      <c r="B12" s="13">
        <v>4.0</v>
      </c>
      <c r="C12" s="13">
        <v>250.0</v>
      </c>
      <c r="D12" s="8">
        <f t="shared" si="1"/>
        <v>1000</v>
      </c>
      <c r="E12" s="7">
        <v>1.0</v>
      </c>
      <c r="F12" s="7">
        <f t="shared" si="2"/>
        <v>1000</v>
      </c>
      <c r="G12" s="7">
        <v>30.0</v>
      </c>
      <c r="H12" s="7">
        <f t="shared" si="3"/>
        <v>700</v>
      </c>
      <c r="I12" s="2"/>
      <c r="J12" s="2"/>
      <c r="K12" s="2"/>
      <c r="L12" s="2"/>
    </row>
    <row r="13">
      <c r="A13" s="12" t="s">
        <v>19</v>
      </c>
      <c r="B13" s="13">
        <v>2.0</v>
      </c>
      <c r="C13" s="13">
        <v>290.0</v>
      </c>
      <c r="D13" s="8">
        <f t="shared" si="1"/>
        <v>580</v>
      </c>
      <c r="E13" s="7">
        <v>1.0</v>
      </c>
      <c r="F13" s="7">
        <f t="shared" si="2"/>
        <v>580</v>
      </c>
      <c r="G13" s="7">
        <v>30.0</v>
      </c>
      <c r="H13" s="7">
        <f t="shared" si="3"/>
        <v>406</v>
      </c>
      <c r="I13" s="2"/>
      <c r="J13" s="2"/>
      <c r="K13" s="2"/>
      <c r="L13" s="2"/>
    </row>
    <row r="14">
      <c r="A14" s="12" t="s">
        <v>20</v>
      </c>
      <c r="B14" s="13">
        <v>1.0</v>
      </c>
      <c r="C14" s="13">
        <v>400.0</v>
      </c>
      <c r="D14" s="8">
        <f t="shared" si="1"/>
        <v>400</v>
      </c>
      <c r="E14" s="7">
        <v>1.0</v>
      </c>
      <c r="F14" s="7">
        <f t="shared" si="2"/>
        <v>400</v>
      </c>
      <c r="G14" s="7">
        <v>30.0</v>
      </c>
      <c r="H14" s="7">
        <f t="shared" si="3"/>
        <v>280</v>
      </c>
      <c r="I14" s="2"/>
      <c r="J14" s="2"/>
      <c r="K14" s="2"/>
      <c r="L14" s="2"/>
    </row>
    <row r="15">
      <c r="A15" s="12" t="s">
        <v>21</v>
      </c>
      <c r="B15" s="14">
        <v>7.0</v>
      </c>
      <c r="C15" s="13">
        <v>490.0</v>
      </c>
      <c r="D15" s="8">
        <f t="shared" si="1"/>
        <v>3430</v>
      </c>
      <c r="E15" s="7">
        <v>1.0</v>
      </c>
      <c r="F15" s="7">
        <f t="shared" si="2"/>
        <v>3430</v>
      </c>
      <c r="G15" s="7">
        <v>30.0</v>
      </c>
      <c r="H15" s="7">
        <f t="shared" si="3"/>
        <v>2401</v>
      </c>
      <c r="I15" s="2"/>
      <c r="J15" s="2"/>
      <c r="K15" s="2"/>
      <c r="L15" s="2"/>
    </row>
    <row r="16">
      <c r="A16" s="12" t="s">
        <v>22</v>
      </c>
      <c r="B16" s="14">
        <v>2.0</v>
      </c>
      <c r="C16" s="13">
        <v>450.0</v>
      </c>
      <c r="D16" s="8">
        <f t="shared" si="1"/>
        <v>900</v>
      </c>
      <c r="E16" s="7">
        <v>1.0</v>
      </c>
      <c r="F16" s="7">
        <f t="shared" si="2"/>
        <v>900</v>
      </c>
      <c r="G16" s="7">
        <v>30.0</v>
      </c>
      <c r="H16" s="7">
        <f t="shared" si="3"/>
        <v>630</v>
      </c>
      <c r="I16" s="2"/>
      <c r="J16" s="2"/>
      <c r="K16" s="2"/>
      <c r="L16" s="2"/>
    </row>
    <row r="17">
      <c r="A17" s="12" t="s">
        <v>23</v>
      </c>
      <c r="B17" s="13">
        <v>2.0</v>
      </c>
      <c r="C17" s="13">
        <v>490.0</v>
      </c>
      <c r="D17" s="8">
        <f t="shared" si="1"/>
        <v>980</v>
      </c>
      <c r="E17" s="7">
        <v>1.0</v>
      </c>
      <c r="F17" s="7">
        <f t="shared" si="2"/>
        <v>980</v>
      </c>
      <c r="G17" s="7">
        <v>30.0</v>
      </c>
      <c r="H17" s="7">
        <f t="shared" si="3"/>
        <v>686</v>
      </c>
      <c r="I17" s="2"/>
      <c r="J17" s="2"/>
      <c r="K17" s="2"/>
      <c r="L17" s="2"/>
    </row>
    <row r="18">
      <c r="A18" s="15" t="s">
        <v>24</v>
      </c>
      <c r="B18" s="7">
        <v>6.0</v>
      </c>
      <c r="C18" s="7">
        <v>890.0</v>
      </c>
      <c r="D18" s="8">
        <f t="shared" si="1"/>
        <v>5340</v>
      </c>
      <c r="E18" s="7">
        <v>1.0</v>
      </c>
      <c r="F18" s="7">
        <f t="shared" si="2"/>
        <v>5340</v>
      </c>
      <c r="G18" s="7">
        <v>30.0</v>
      </c>
      <c r="H18" s="7">
        <f t="shared" si="3"/>
        <v>3738</v>
      </c>
      <c r="I18" s="2"/>
      <c r="J18" s="2"/>
      <c r="K18" s="2"/>
      <c r="L18" s="2"/>
    </row>
    <row r="19">
      <c r="A19" s="16" t="s">
        <v>25</v>
      </c>
      <c r="B19" s="7">
        <v>1.0</v>
      </c>
      <c r="C19" s="7">
        <v>1000.0</v>
      </c>
      <c r="D19" s="8">
        <f t="shared" si="1"/>
        <v>1000</v>
      </c>
      <c r="E19" s="7">
        <v>1.0</v>
      </c>
      <c r="F19" s="7">
        <f t="shared" si="2"/>
        <v>1000</v>
      </c>
      <c r="G19" s="7">
        <v>30.0</v>
      </c>
      <c r="H19" s="7">
        <f t="shared" si="3"/>
        <v>700</v>
      </c>
      <c r="I19" s="2"/>
      <c r="J19" s="2"/>
      <c r="K19" s="2"/>
      <c r="L19" s="2"/>
    </row>
    <row r="20">
      <c r="I20" s="2"/>
      <c r="J20" s="2"/>
      <c r="K20" s="2"/>
      <c r="L20" s="2"/>
    </row>
    <row r="21">
      <c r="A21" s="5" t="s">
        <v>26</v>
      </c>
      <c r="I21" s="2"/>
      <c r="J21" s="2"/>
      <c r="K21" s="2"/>
      <c r="L21" s="2"/>
    </row>
    <row r="22">
      <c r="A22" s="17" t="s">
        <v>27</v>
      </c>
      <c r="B22" s="7">
        <v>1.0</v>
      </c>
      <c r="C22" s="7">
        <v>1500.0</v>
      </c>
      <c r="D22" s="8">
        <f>B22*C22</f>
        <v>1500</v>
      </c>
      <c r="E22" s="7">
        <v>1.0</v>
      </c>
      <c r="F22" s="7">
        <f>D22*E22</f>
        <v>1500</v>
      </c>
      <c r="G22" s="7">
        <v>30.0</v>
      </c>
      <c r="H22" s="7">
        <f>F22* (1-G22%)</f>
        <v>1050</v>
      </c>
      <c r="I22" s="2"/>
      <c r="J22" s="2"/>
      <c r="K22" s="2"/>
      <c r="L22" s="2"/>
    </row>
    <row r="23">
      <c r="A23" s="18" t="s">
        <v>28</v>
      </c>
      <c r="I23" s="2"/>
      <c r="J23" s="2"/>
      <c r="K23" s="2"/>
      <c r="L23" s="2"/>
    </row>
    <row r="24">
      <c r="A24" s="19" t="s">
        <v>29</v>
      </c>
      <c r="B24" s="7">
        <v>1.0</v>
      </c>
      <c r="C24" s="7">
        <v>2500.0</v>
      </c>
      <c r="D24" s="8">
        <f t="shared" ref="D24:D25" si="4">B24*C24</f>
        <v>2500</v>
      </c>
      <c r="E24" s="7">
        <v>1.0</v>
      </c>
      <c r="F24" s="7">
        <f t="shared" ref="F24:F25" si="5">D24*E24</f>
        <v>2500</v>
      </c>
      <c r="G24" s="7">
        <v>30.0</v>
      </c>
      <c r="H24" s="7">
        <f t="shared" ref="H24:H25" si="6">F24* (1-G24%)</f>
        <v>1750</v>
      </c>
      <c r="I24" s="2"/>
      <c r="J24" s="2"/>
      <c r="K24" s="2"/>
      <c r="L24" s="2"/>
    </row>
    <row r="25">
      <c r="A25" s="6" t="s">
        <v>30</v>
      </c>
      <c r="B25" s="7">
        <v>1.0</v>
      </c>
      <c r="C25" s="20">
        <v>2690.0</v>
      </c>
      <c r="D25" s="8">
        <f t="shared" si="4"/>
        <v>2690</v>
      </c>
      <c r="E25" s="7">
        <v>1.0</v>
      </c>
      <c r="F25" s="7">
        <f t="shared" si="5"/>
        <v>2690</v>
      </c>
      <c r="G25" s="7">
        <v>30.0</v>
      </c>
      <c r="H25" s="7">
        <f t="shared" si="6"/>
        <v>1883</v>
      </c>
      <c r="I25" s="2"/>
      <c r="J25" s="2"/>
      <c r="K25" s="2"/>
      <c r="L25" s="2"/>
    </row>
    <row r="26">
      <c r="A26" s="18" t="s">
        <v>31</v>
      </c>
      <c r="I26" s="2"/>
      <c r="J26" s="2"/>
      <c r="K26" s="2"/>
      <c r="L26" s="2"/>
    </row>
    <row r="27">
      <c r="A27" s="10" t="s">
        <v>32</v>
      </c>
      <c r="B27" s="8">
        <v>5.0</v>
      </c>
      <c r="C27" s="7">
        <v>190.0</v>
      </c>
      <c r="D27" s="8">
        <f t="shared" ref="D27:D30" si="7">B27*C27</f>
        <v>950</v>
      </c>
      <c r="E27" s="7">
        <v>1.0</v>
      </c>
      <c r="F27" s="7">
        <f t="shared" ref="F27:F30" si="8">D27*E27</f>
        <v>950</v>
      </c>
      <c r="G27" s="7">
        <v>30.0</v>
      </c>
      <c r="H27" s="7">
        <f t="shared" ref="H27:H30" si="9">F27* (1-G27%)</f>
        <v>665</v>
      </c>
      <c r="I27" s="2"/>
      <c r="J27" s="2"/>
      <c r="K27" s="2"/>
      <c r="L27" s="2"/>
    </row>
    <row r="28">
      <c r="A28" s="21" t="s">
        <v>33</v>
      </c>
      <c r="B28" s="8">
        <v>1.0</v>
      </c>
      <c r="C28" s="7">
        <v>890.0</v>
      </c>
      <c r="D28" s="8">
        <f t="shared" si="7"/>
        <v>890</v>
      </c>
      <c r="E28" s="7">
        <v>1.0</v>
      </c>
      <c r="F28" s="7">
        <f t="shared" si="8"/>
        <v>890</v>
      </c>
      <c r="G28" s="7">
        <v>30.0</v>
      </c>
      <c r="H28" s="7">
        <f t="shared" si="9"/>
        <v>623</v>
      </c>
      <c r="I28" s="2"/>
      <c r="J28" s="2"/>
      <c r="K28" s="2"/>
      <c r="L28" s="2"/>
    </row>
    <row r="29">
      <c r="A29" s="11" t="s">
        <v>34</v>
      </c>
      <c r="B29" s="8">
        <v>1.0</v>
      </c>
      <c r="C29" s="7">
        <v>1900.0</v>
      </c>
      <c r="D29" s="8">
        <f t="shared" si="7"/>
        <v>1900</v>
      </c>
      <c r="E29" s="7">
        <v>1.0</v>
      </c>
      <c r="F29" s="7">
        <f t="shared" si="8"/>
        <v>1900</v>
      </c>
      <c r="G29" s="7">
        <v>30.0</v>
      </c>
      <c r="H29" s="7">
        <f t="shared" si="9"/>
        <v>1330</v>
      </c>
      <c r="I29" s="2"/>
      <c r="J29" s="2"/>
      <c r="K29" s="2"/>
      <c r="L29" s="2"/>
    </row>
    <row r="30">
      <c r="A30" s="22" t="s">
        <v>35</v>
      </c>
      <c r="B30" s="8">
        <v>1.0</v>
      </c>
      <c r="C30" s="7">
        <v>2250.0</v>
      </c>
      <c r="D30" s="8">
        <f t="shared" si="7"/>
        <v>2250</v>
      </c>
      <c r="E30" s="7">
        <v>1.0</v>
      </c>
      <c r="F30" s="7">
        <f t="shared" si="8"/>
        <v>2250</v>
      </c>
      <c r="G30" s="7">
        <v>30.0</v>
      </c>
      <c r="H30" s="7">
        <f t="shared" si="9"/>
        <v>1575</v>
      </c>
      <c r="I30" s="2"/>
      <c r="J30" s="2"/>
      <c r="K30" s="2"/>
      <c r="L30" s="2"/>
    </row>
    <row r="31">
      <c r="A31" s="18" t="s">
        <v>36</v>
      </c>
      <c r="I31" s="2"/>
      <c r="J31" s="2"/>
      <c r="K31" s="2"/>
      <c r="L31" s="2"/>
    </row>
    <row r="32">
      <c r="A32" s="11" t="s">
        <v>37</v>
      </c>
      <c r="B32" s="8">
        <v>3.0</v>
      </c>
      <c r="C32" s="7">
        <v>375.0</v>
      </c>
      <c r="D32" s="8">
        <f t="shared" ref="D32:D36" si="10">B32*C32</f>
        <v>1125</v>
      </c>
      <c r="E32" s="7">
        <v>1.0</v>
      </c>
      <c r="F32" s="7">
        <f t="shared" ref="F32:F36" si="11">D32*E32</f>
        <v>1125</v>
      </c>
      <c r="G32" s="7">
        <v>30.0</v>
      </c>
      <c r="H32" s="7">
        <f t="shared" ref="H32:H36" si="12">F32* (1-G32%)</f>
        <v>787.5</v>
      </c>
      <c r="I32" s="2"/>
      <c r="J32" s="2"/>
      <c r="K32" s="2"/>
      <c r="L32" s="2"/>
    </row>
    <row r="33">
      <c r="A33" s="22" t="s">
        <v>38</v>
      </c>
      <c r="B33" s="8">
        <v>2.0</v>
      </c>
      <c r="C33" s="7">
        <v>290.0</v>
      </c>
      <c r="D33" s="8">
        <f t="shared" si="10"/>
        <v>580</v>
      </c>
      <c r="E33" s="7">
        <v>1.0</v>
      </c>
      <c r="F33" s="7">
        <f t="shared" si="11"/>
        <v>580</v>
      </c>
      <c r="G33" s="7">
        <v>30.0</v>
      </c>
      <c r="H33" s="7">
        <f t="shared" si="12"/>
        <v>406</v>
      </c>
      <c r="I33" s="2"/>
      <c r="J33" s="2"/>
      <c r="K33" s="2"/>
      <c r="L33" s="2"/>
    </row>
    <row r="34">
      <c r="A34" s="23" t="s">
        <v>39</v>
      </c>
      <c r="B34" s="8">
        <v>1.0</v>
      </c>
      <c r="C34" s="7">
        <v>6000.0</v>
      </c>
      <c r="D34" s="8">
        <f t="shared" si="10"/>
        <v>6000</v>
      </c>
      <c r="E34" s="7">
        <v>1.0</v>
      </c>
      <c r="F34" s="7">
        <f t="shared" si="11"/>
        <v>6000</v>
      </c>
      <c r="G34" s="7">
        <v>30.0</v>
      </c>
      <c r="H34" s="7">
        <f t="shared" si="12"/>
        <v>4200</v>
      </c>
      <c r="I34" s="2"/>
      <c r="J34" s="2"/>
      <c r="K34" s="2"/>
      <c r="L34" s="2"/>
    </row>
    <row r="35">
      <c r="A35" s="24" t="s">
        <v>40</v>
      </c>
      <c r="B35" s="14">
        <v>1.0</v>
      </c>
      <c r="C35" s="14">
        <v>400.0</v>
      </c>
      <c r="D35" s="8">
        <f t="shared" si="10"/>
        <v>400</v>
      </c>
      <c r="E35" s="7">
        <v>1.0</v>
      </c>
      <c r="F35" s="7">
        <f t="shared" si="11"/>
        <v>400</v>
      </c>
      <c r="G35" s="7">
        <v>30.0</v>
      </c>
      <c r="H35" s="7">
        <f t="shared" si="12"/>
        <v>280</v>
      </c>
      <c r="I35" s="2"/>
      <c r="J35" s="2"/>
      <c r="K35" s="2"/>
      <c r="L35" s="2"/>
    </row>
    <row r="36">
      <c r="A36" s="25" t="s">
        <v>41</v>
      </c>
      <c r="B36" s="26">
        <v>1.0</v>
      </c>
      <c r="C36" s="26">
        <v>290.0</v>
      </c>
      <c r="D36" s="8">
        <f t="shared" si="10"/>
        <v>290</v>
      </c>
      <c r="E36" s="7">
        <v>1.0</v>
      </c>
      <c r="F36" s="7">
        <f t="shared" si="11"/>
        <v>290</v>
      </c>
      <c r="G36" s="7">
        <v>30.0</v>
      </c>
      <c r="H36" s="7">
        <f t="shared" si="12"/>
        <v>203</v>
      </c>
      <c r="I36" s="2"/>
      <c r="J36" s="2"/>
      <c r="K36" s="2"/>
      <c r="L36" s="2"/>
    </row>
    <row r="37">
      <c r="B37" s="27"/>
      <c r="C37" s="27"/>
      <c r="D37" s="27"/>
      <c r="E37" s="27"/>
      <c r="F37" s="27"/>
      <c r="G37" s="28" t="s">
        <v>8</v>
      </c>
      <c r="H37" s="29">
        <f>SUM(H5:H36)</f>
        <v>35486.5</v>
      </c>
      <c r="I37" s="2"/>
      <c r="J37" s="2"/>
      <c r="K37" s="2"/>
      <c r="L37" s="2"/>
    </row>
    <row r="38">
      <c r="A38" s="30" t="s">
        <v>42</v>
      </c>
      <c r="I38" s="2"/>
      <c r="J38" s="2"/>
      <c r="K38" s="2"/>
      <c r="L38" s="2"/>
    </row>
    <row r="39">
      <c r="A39" s="5" t="s">
        <v>10</v>
      </c>
      <c r="I39" s="2"/>
      <c r="J39" s="2"/>
      <c r="K39" s="2"/>
      <c r="L39" s="2"/>
    </row>
    <row r="40">
      <c r="A40" s="21" t="s">
        <v>43</v>
      </c>
      <c r="B40" s="7">
        <v>1.0</v>
      </c>
      <c r="C40" s="7">
        <v>3890.0</v>
      </c>
      <c r="D40" s="8">
        <f>B40*C40</f>
        <v>3890</v>
      </c>
      <c r="E40" s="7">
        <v>1.0</v>
      </c>
      <c r="F40" s="7">
        <f>D40*E40</f>
        <v>3890</v>
      </c>
      <c r="G40" s="7">
        <v>30.0</v>
      </c>
      <c r="H40" s="7">
        <f>F40* (1-G40%)</f>
        <v>2723</v>
      </c>
      <c r="I40" s="2"/>
      <c r="J40" s="2"/>
      <c r="K40" s="2"/>
      <c r="L40" s="2"/>
    </row>
    <row r="41">
      <c r="A41" s="5" t="s">
        <v>12</v>
      </c>
      <c r="I41" s="2"/>
      <c r="J41" s="2"/>
      <c r="K41" s="2"/>
      <c r="L41" s="2"/>
    </row>
    <row r="42">
      <c r="A42" s="11" t="s">
        <v>44</v>
      </c>
      <c r="B42" s="7">
        <v>2.0</v>
      </c>
      <c r="C42" s="7">
        <v>490.0</v>
      </c>
      <c r="D42" s="8">
        <f>B42*C42</f>
        <v>980</v>
      </c>
      <c r="E42" s="7">
        <v>1.0</v>
      </c>
      <c r="F42" s="7">
        <f>D42*E42</f>
        <v>980</v>
      </c>
      <c r="G42" s="7">
        <v>30.0</v>
      </c>
      <c r="H42" s="7">
        <f>F42* (1-G42%)</f>
        <v>686</v>
      </c>
      <c r="I42" s="2"/>
      <c r="J42" s="2"/>
      <c r="K42" s="2"/>
      <c r="L42" s="2"/>
    </row>
    <row r="43">
      <c r="A43" s="5" t="s">
        <v>26</v>
      </c>
      <c r="I43" s="2"/>
      <c r="J43" s="2"/>
      <c r="K43" s="2"/>
      <c r="L43" s="2"/>
    </row>
    <row r="44">
      <c r="A44" s="22" t="s">
        <v>45</v>
      </c>
      <c r="B44" s="7">
        <v>1.0</v>
      </c>
      <c r="C44" s="7">
        <v>1790.0</v>
      </c>
      <c r="D44" s="8">
        <f t="shared" ref="D44:D48" si="13">B44*C44</f>
        <v>1790</v>
      </c>
      <c r="E44" s="7">
        <v>1.0</v>
      </c>
      <c r="F44" s="7">
        <f t="shared" ref="F44:F48" si="14">D44*E44</f>
        <v>1790</v>
      </c>
      <c r="G44" s="7">
        <v>30.0</v>
      </c>
      <c r="H44" s="7">
        <f t="shared" ref="H44:H48" si="15">F44* (1-G44%)</f>
        <v>1253</v>
      </c>
      <c r="I44" s="2"/>
      <c r="J44" s="2"/>
      <c r="K44" s="2"/>
      <c r="L44" s="2"/>
    </row>
    <row r="45">
      <c r="A45" s="31" t="s">
        <v>46</v>
      </c>
      <c r="B45" s="7">
        <v>1.0</v>
      </c>
      <c r="C45" s="7">
        <v>1190.0</v>
      </c>
      <c r="D45" s="8">
        <f t="shared" si="13"/>
        <v>1190</v>
      </c>
      <c r="E45" s="7">
        <v>1.0</v>
      </c>
      <c r="F45" s="7">
        <f t="shared" si="14"/>
        <v>1190</v>
      </c>
      <c r="G45" s="7">
        <v>30.0</v>
      </c>
      <c r="H45" s="7">
        <f t="shared" si="15"/>
        <v>833</v>
      </c>
      <c r="I45" s="2"/>
      <c r="J45" s="2"/>
      <c r="K45" s="2"/>
      <c r="L45" s="2"/>
    </row>
    <row r="46">
      <c r="A46" s="21" t="s">
        <v>47</v>
      </c>
      <c r="B46" s="7">
        <v>1.0</v>
      </c>
      <c r="C46" s="7">
        <v>1590.0</v>
      </c>
      <c r="D46" s="8">
        <f t="shared" si="13"/>
        <v>1590</v>
      </c>
      <c r="E46" s="7">
        <v>1.0</v>
      </c>
      <c r="F46" s="7">
        <f t="shared" si="14"/>
        <v>1590</v>
      </c>
      <c r="G46" s="7">
        <v>30.0</v>
      </c>
      <c r="H46" s="7">
        <f t="shared" si="15"/>
        <v>1113</v>
      </c>
      <c r="I46" s="2"/>
      <c r="J46" s="2"/>
      <c r="K46" s="2"/>
      <c r="L46" s="2"/>
    </row>
    <row r="47">
      <c r="A47" s="22" t="s">
        <v>48</v>
      </c>
      <c r="B47" s="7">
        <v>1.0</v>
      </c>
      <c r="C47" s="7">
        <v>3290.0</v>
      </c>
      <c r="D47" s="8">
        <f t="shared" si="13"/>
        <v>3290</v>
      </c>
      <c r="E47" s="7">
        <v>1.0</v>
      </c>
      <c r="F47" s="7">
        <f t="shared" si="14"/>
        <v>3290</v>
      </c>
      <c r="G47" s="7">
        <v>30.0</v>
      </c>
      <c r="H47" s="7">
        <f t="shared" si="15"/>
        <v>2303</v>
      </c>
      <c r="I47" s="2"/>
      <c r="J47" s="2"/>
      <c r="K47" s="2"/>
      <c r="L47" s="2"/>
    </row>
    <row r="48">
      <c r="A48" s="22" t="s">
        <v>49</v>
      </c>
      <c r="B48" s="7">
        <v>1.0</v>
      </c>
      <c r="C48" s="7">
        <v>2490.0</v>
      </c>
      <c r="D48" s="8">
        <f t="shared" si="13"/>
        <v>2490</v>
      </c>
      <c r="E48" s="7">
        <v>1.0</v>
      </c>
      <c r="F48" s="7">
        <f t="shared" si="14"/>
        <v>2490</v>
      </c>
      <c r="G48" s="7">
        <v>30.0</v>
      </c>
      <c r="H48" s="7">
        <f t="shared" si="15"/>
        <v>1743</v>
      </c>
      <c r="I48" s="2"/>
      <c r="J48" s="2"/>
      <c r="K48" s="2"/>
      <c r="L48" s="2"/>
    </row>
    <row r="49">
      <c r="A49" s="18" t="s">
        <v>28</v>
      </c>
      <c r="I49" s="2"/>
      <c r="J49" s="2"/>
      <c r="K49" s="2"/>
      <c r="L49" s="2"/>
    </row>
    <row r="50">
      <c r="A50" s="22" t="s">
        <v>50</v>
      </c>
      <c r="B50" s="7">
        <v>1.0</v>
      </c>
      <c r="C50" s="7">
        <v>2690.0</v>
      </c>
      <c r="D50" s="8">
        <f t="shared" ref="D50:D51" si="16">B50*C50</f>
        <v>2690</v>
      </c>
      <c r="E50" s="7">
        <v>1.0</v>
      </c>
      <c r="F50" s="7">
        <f t="shared" ref="F50:F51" si="17">D50*E50</f>
        <v>2690</v>
      </c>
      <c r="G50" s="7">
        <v>30.0</v>
      </c>
      <c r="H50" s="7">
        <f t="shared" ref="H50:H51" si="18">F50* (1-G50%)</f>
        <v>1883</v>
      </c>
      <c r="I50" s="2"/>
      <c r="J50" s="2"/>
      <c r="K50" s="2"/>
      <c r="L50" s="2"/>
    </row>
    <row r="51">
      <c r="A51" s="22" t="s">
        <v>51</v>
      </c>
      <c r="B51" s="7">
        <v>3.0</v>
      </c>
      <c r="C51" s="7">
        <v>350.0</v>
      </c>
      <c r="D51" s="8">
        <f t="shared" si="16"/>
        <v>1050</v>
      </c>
      <c r="E51" s="7">
        <v>1.0</v>
      </c>
      <c r="F51" s="7">
        <f t="shared" si="17"/>
        <v>1050</v>
      </c>
      <c r="G51" s="7">
        <v>30.0</v>
      </c>
      <c r="H51" s="7">
        <f t="shared" si="18"/>
        <v>735</v>
      </c>
      <c r="I51" s="2"/>
      <c r="J51" s="2"/>
      <c r="K51" s="2"/>
      <c r="L51" s="2"/>
    </row>
    <row r="52">
      <c r="A52" s="18" t="s">
        <v>31</v>
      </c>
      <c r="I52" s="2"/>
      <c r="J52" s="2"/>
      <c r="K52" s="2"/>
      <c r="L52" s="2"/>
    </row>
    <row r="53">
      <c r="A53" s="32" t="s">
        <v>52</v>
      </c>
      <c r="B53" s="13">
        <v>1.0</v>
      </c>
      <c r="C53" s="13">
        <v>3450.0</v>
      </c>
      <c r="D53" s="8">
        <f t="shared" ref="D53:D57" si="19">B53*C53</f>
        <v>3450</v>
      </c>
      <c r="E53" s="7">
        <v>1.0</v>
      </c>
      <c r="F53" s="7">
        <f t="shared" ref="F53:F57" si="20">D53*E53</f>
        <v>3450</v>
      </c>
      <c r="G53" s="7">
        <v>30.0</v>
      </c>
      <c r="H53" s="7">
        <f t="shared" ref="H53:H57" si="21">F53* (1-G53%)</f>
        <v>2415</v>
      </c>
      <c r="I53" s="2"/>
      <c r="J53" s="2"/>
      <c r="K53" s="2"/>
      <c r="L53" s="2"/>
    </row>
    <row r="54">
      <c r="A54" s="22" t="s">
        <v>53</v>
      </c>
      <c r="B54" s="14">
        <v>1.0</v>
      </c>
      <c r="C54" s="14">
        <v>1935.0</v>
      </c>
      <c r="D54" s="8">
        <f t="shared" si="19"/>
        <v>1935</v>
      </c>
      <c r="E54" s="7">
        <v>1.0</v>
      </c>
      <c r="F54" s="7">
        <f t="shared" si="20"/>
        <v>1935</v>
      </c>
      <c r="G54" s="7">
        <v>30.0</v>
      </c>
      <c r="H54" s="7">
        <f t="shared" si="21"/>
        <v>1354.5</v>
      </c>
      <c r="I54" s="2"/>
      <c r="J54" s="2"/>
      <c r="K54" s="2"/>
      <c r="L54" s="2"/>
    </row>
    <row r="55">
      <c r="A55" s="33" t="s">
        <v>54</v>
      </c>
      <c r="B55" s="14">
        <v>2.0</v>
      </c>
      <c r="C55" s="13">
        <v>1750.0</v>
      </c>
      <c r="D55" s="8">
        <f t="shared" si="19"/>
        <v>3500</v>
      </c>
      <c r="E55" s="7">
        <v>1.0</v>
      </c>
      <c r="F55" s="7">
        <f t="shared" si="20"/>
        <v>3500</v>
      </c>
      <c r="G55" s="7">
        <v>30.0</v>
      </c>
      <c r="H55" s="7">
        <f t="shared" si="21"/>
        <v>2450</v>
      </c>
      <c r="I55" s="2"/>
      <c r="J55" s="2"/>
      <c r="K55" s="2"/>
      <c r="L55" s="2"/>
    </row>
    <row r="56">
      <c r="A56" s="21" t="s">
        <v>55</v>
      </c>
      <c r="B56" s="20">
        <v>1.0</v>
      </c>
      <c r="C56" s="20">
        <v>3990.0</v>
      </c>
      <c r="D56" s="8">
        <f t="shared" si="19"/>
        <v>3990</v>
      </c>
      <c r="E56" s="7">
        <v>1.0</v>
      </c>
      <c r="F56" s="7">
        <f t="shared" si="20"/>
        <v>3990</v>
      </c>
      <c r="G56" s="7">
        <v>30.0</v>
      </c>
      <c r="H56" s="7">
        <f t="shared" si="21"/>
        <v>2793</v>
      </c>
      <c r="I56" s="2"/>
      <c r="J56" s="2"/>
      <c r="K56" s="2"/>
      <c r="L56" s="2"/>
    </row>
    <row r="57">
      <c r="A57" s="22" t="s">
        <v>56</v>
      </c>
      <c r="B57" s="20">
        <v>3.0</v>
      </c>
      <c r="C57" s="20">
        <v>90.0</v>
      </c>
      <c r="D57" s="8">
        <f t="shared" si="19"/>
        <v>270</v>
      </c>
      <c r="E57" s="20">
        <v>1.0</v>
      </c>
      <c r="F57" s="7">
        <f t="shared" si="20"/>
        <v>270</v>
      </c>
      <c r="G57" s="20">
        <v>30.0</v>
      </c>
      <c r="H57" s="7">
        <f t="shared" si="21"/>
        <v>189</v>
      </c>
      <c r="I57" s="2"/>
      <c r="J57" s="2"/>
      <c r="K57" s="2"/>
      <c r="L57" s="2"/>
    </row>
    <row r="58">
      <c r="A58" s="2"/>
      <c r="B58" s="27"/>
      <c r="C58" s="27"/>
      <c r="D58" s="27"/>
      <c r="E58" s="27"/>
      <c r="F58" s="27"/>
      <c r="G58" s="28" t="s">
        <v>8</v>
      </c>
      <c r="H58" s="28">
        <f>SUM(H40:H56)</f>
        <v>22284.5</v>
      </c>
      <c r="I58" s="2"/>
      <c r="J58" s="2"/>
      <c r="K58" s="2"/>
      <c r="L58" s="2"/>
    </row>
    <row r="59">
      <c r="A59" s="2"/>
      <c r="B59" s="27"/>
      <c r="C59" s="27"/>
      <c r="D59" s="27"/>
      <c r="E59" s="27"/>
      <c r="F59" s="27"/>
      <c r="G59" s="27"/>
      <c r="H59" s="27"/>
      <c r="I59" s="2"/>
      <c r="J59" s="2"/>
      <c r="K59" s="2"/>
      <c r="L59" s="2"/>
    </row>
    <row r="60">
      <c r="A60" s="34" t="s">
        <v>57</v>
      </c>
      <c r="B60" s="35">
        <f>SUM(H37+H58)</f>
        <v>57771</v>
      </c>
      <c r="C60" s="27"/>
      <c r="D60" s="27"/>
      <c r="E60" s="27"/>
      <c r="F60" s="27"/>
      <c r="G60" s="27"/>
      <c r="H60" s="27"/>
      <c r="I60" s="2"/>
      <c r="J60" s="2"/>
      <c r="K60" s="2"/>
      <c r="L60" s="2"/>
    </row>
    <row r="61">
      <c r="I61" s="2"/>
      <c r="J61" s="2"/>
      <c r="K61" s="2"/>
      <c r="L61" s="2"/>
    </row>
    <row r="62">
      <c r="I62" s="2"/>
      <c r="J62" s="2"/>
      <c r="K62" s="2"/>
      <c r="L62" s="2"/>
    </row>
    <row r="63">
      <c r="I63" s="2"/>
      <c r="J63" s="2"/>
      <c r="K63" s="2"/>
      <c r="L63" s="2"/>
    </row>
    <row r="64">
      <c r="I64" s="2"/>
      <c r="J64" s="2"/>
      <c r="K64" s="2"/>
      <c r="L64" s="2"/>
    </row>
    <row r="65">
      <c r="I65" s="2"/>
      <c r="J65" s="2"/>
      <c r="K65" s="2"/>
      <c r="L65" s="2"/>
    </row>
    <row r="66">
      <c r="I66" s="2"/>
      <c r="J66" s="2"/>
      <c r="K66" s="2"/>
      <c r="L66" s="2"/>
    </row>
    <row r="67">
      <c r="I67" s="2"/>
      <c r="J67" s="2"/>
      <c r="K67" s="2"/>
      <c r="L67" s="2"/>
    </row>
    <row r="68">
      <c r="I68" s="2"/>
      <c r="J68" s="2"/>
      <c r="K68" s="2"/>
      <c r="L68" s="2"/>
    </row>
    <row r="69">
      <c r="I69" s="2"/>
      <c r="J69" s="2"/>
      <c r="K69" s="2"/>
      <c r="L69" s="2"/>
    </row>
    <row r="70">
      <c r="I70" s="2"/>
      <c r="J70" s="2"/>
      <c r="K70" s="2"/>
      <c r="L70" s="2"/>
    </row>
    <row r="71">
      <c r="I71" s="2"/>
      <c r="J71" s="2"/>
      <c r="K71" s="2"/>
      <c r="L71" s="2"/>
    </row>
    <row r="72">
      <c r="I72" s="2"/>
      <c r="J72" s="2"/>
      <c r="K72" s="2"/>
      <c r="L72" s="2"/>
    </row>
    <row r="73">
      <c r="I73" s="2"/>
      <c r="J73" s="2"/>
      <c r="K73" s="2"/>
      <c r="L73" s="2"/>
    </row>
    <row r="74">
      <c r="I74" s="2"/>
      <c r="J74" s="2"/>
      <c r="K74" s="2"/>
      <c r="L74" s="2"/>
    </row>
    <row r="75">
      <c r="I75" s="2"/>
      <c r="J75" s="2"/>
      <c r="K75" s="2"/>
      <c r="L75" s="2"/>
    </row>
    <row r="76">
      <c r="I76" s="2"/>
      <c r="J76" s="2"/>
      <c r="K76" s="2"/>
      <c r="L76" s="2"/>
    </row>
    <row r="77">
      <c r="I77" s="2"/>
      <c r="J77" s="2"/>
      <c r="K77" s="2"/>
      <c r="L77" s="2"/>
    </row>
    <row r="78">
      <c r="I78" s="2"/>
      <c r="J78" s="2"/>
      <c r="K78" s="2"/>
      <c r="L78" s="2"/>
    </row>
    <row r="79">
      <c r="I79" s="2"/>
      <c r="J79" s="2"/>
      <c r="K79" s="2"/>
      <c r="L79" s="2"/>
    </row>
    <row r="80">
      <c r="I80" s="2"/>
      <c r="J80" s="2"/>
      <c r="K80" s="2"/>
      <c r="L80" s="36"/>
    </row>
    <row r="81">
      <c r="I81" s="2"/>
      <c r="J81" s="2"/>
      <c r="K81" s="2"/>
      <c r="L81" s="2"/>
    </row>
    <row r="82">
      <c r="I82" s="2"/>
      <c r="J82" s="2"/>
      <c r="K82" s="2"/>
      <c r="L82" s="2"/>
    </row>
    <row r="83">
      <c r="I83" s="2"/>
      <c r="J83" s="2"/>
      <c r="K83" s="2"/>
      <c r="L83" s="2"/>
    </row>
    <row r="84">
      <c r="I84" s="2"/>
      <c r="J84" s="2"/>
      <c r="K84" s="2"/>
      <c r="L84" s="2"/>
    </row>
    <row r="85">
      <c r="I85" s="2"/>
      <c r="J85" s="2"/>
      <c r="K85" s="2"/>
      <c r="L85" s="2"/>
    </row>
    <row r="86">
      <c r="I86" s="2"/>
      <c r="J86" s="2"/>
      <c r="K86" s="2"/>
      <c r="L86" s="2"/>
    </row>
    <row r="87">
      <c r="I87" s="2"/>
      <c r="J87" s="2"/>
      <c r="K87" s="2"/>
      <c r="L87" s="2"/>
    </row>
  </sheetData>
  <mergeCells count="14">
    <mergeCell ref="A31:H31"/>
    <mergeCell ref="A38:H38"/>
    <mergeCell ref="A39:H39"/>
    <mergeCell ref="A41:H41"/>
    <mergeCell ref="A43:H43"/>
    <mergeCell ref="A49:H49"/>
    <mergeCell ref="A52:H52"/>
    <mergeCell ref="A1:H1"/>
    <mergeCell ref="A3:H3"/>
    <mergeCell ref="A4:H4"/>
    <mergeCell ref="A6:H6"/>
    <mergeCell ref="A21:H21"/>
    <mergeCell ref="A23:H23"/>
    <mergeCell ref="A26:H26"/>
  </mergeCells>
  <hyperlinks>
    <hyperlink r:id="rId1" ref="A5"/>
    <hyperlink r:id="rId2" ref="A7"/>
    <hyperlink r:id="rId3" ref="A8"/>
    <hyperlink r:id="rId4" ref="A9"/>
    <hyperlink r:id="rId5" ref="A10"/>
    <hyperlink r:id="rId6" ref="A11"/>
    <hyperlink r:id="rId7" ref="A12"/>
    <hyperlink r:id="rId8" ref="A13"/>
    <hyperlink r:id="rId9" ref="A14"/>
    <hyperlink r:id="rId10" ref="A15"/>
    <hyperlink r:id="rId11" ref="A16"/>
    <hyperlink r:id="rId12" ref="A17"/>
    <hyperlink r:id="rId13" ref="A18"/>
    <hyperlink r:id="rId14" ref="A25"/>
    <hyperlink r:id="rId15" ref="A27"/>
    <hyperlink r:id="rId16" ref="A28"/>
    <hyperlink r:id="rId17" ref="A29"/>
    <hyperlink r:id="rId18" ref="A30"/>
    <hyperlink r:id="rId19" ref="A32"/>
    <hyperlink r:id="rId20" ref="A33"/>
    <hyperlink r:id="rId21" ref="A34"/>
    <hyperlink r:id="rId22" ref="A36"/>
    <hyperlink r:id="rId23" ref="A40"/>
    <hyperlink r:id="rId24" ref="A42"/>
    <hyperlink r:id="rId25" ref="A44"/>
    <hyperlink r:id="rId26" ref="A46"/>
    <hyperlink r:id="rId27" ref="A47"/>
    <hyperlink r:id="rId28" ref="A48"/>
    <hyperlink r:id="rId29" ref="A50"/>
    <hyperlink r:id="rId30" ref="A51"/>
    <hyperlink r:id="rId31" ref="A53"/>
    <hyperlink r:id="rId32" ref="A54"/>
    <hyperlink r:id="rId33" ref="A55"/>
    <hyperlink r:id="rId34" ref="A56"/>
    <hyperlink r:id="rId35" ref="A57"/>
  </hyperlinks>
  <drawing r:id="rId3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13"/>
    <col customWidth="1" min="3" max="3" width="10.88"/>
    <col customWidth="1" min="4" max="4" width="12.25"/>
    <col customWidth="1" min="5" max="5" width="11.5"/>
    <col customWidth="1" min="6" max="6" width="11.88"/>
  </cols>
  <sheetData>
    <row r="1" ht="21.0" customHeight="1"/>
    <row r="2" ht="36.0" customHeight="1">
      <c r="B2" s="37" t="s">
        <v>58</v>
      </c>
      <c r="C2" s="38"/>
      <c r="D2" s="38"/>
      <c r="E2" s="38"/>
      <c r="F2" s="38"/>
      <c r="G2" s="39"/>
    </row>
    <row r="3">
      <c r="B3" s="40" t="s">
        <v>59</v>
      </c>
      <c r="C3" s="40" t="s">
        <v>60</v>
      </c>
      <c r="D3" s="40" t="s">
        <v>61</v>
      </c>
      <c r="E3" s="40" t="s">
        <v>62</v>
      </c>
      <c r="F3" s="40" t="s">
        <v>63</v>
      </c>
      <c r="G3" s="40" t="s">
        <v>64</v>
      </c>
    </row>
    <row r="4">
      <c r="B4" s="41" t="s">
        <v>65</v>
      </c>
      <c r="C4" s="38"/>
      <c r="D4" s="38"/>
      <c r="E4" s="38"/>
      <c r="F4" s="38"/>
      <c r="G4" s="39"/>
    </row>
    <row r="5">
      <c r="B5" s="42" t="s">
        <v>66</v>
      </c>
      <c r="C5" s="43">
        <v>1.0</v>
      </c>
      <c r="D5" s="44">
        <v>0.0</v>
      </c>
      <c r="E5" s="45">
        <f>D5*C5</f>
        <v>0</v>
      </c>
      <c r="F5" s="46">
        <v>1.0</v>
      </c>
      <c r="G5" s="45">
        <f>D5*C5*F5</f>
        <v>0</v>
      </c>
    </row>
    <row r="6">
      <c r="B6" s="47" t="s">
        <v>67</v>
      </c>
      <c r="C6" s="48"/>
      <c r="D6" s="48"/>
      <c r="E6" s="48"/>
      <c r="F6" s="48"/>
      <c r="G6" s="49">
        <f>SUM(G5)</f>
        <v>0</v>
      </c>
    </row>
    <row r="7">
      <c r="B7" s="50" t="s">
        <v>68</v>
      </c>
      <c r="C7" s="38"/>
      <c r="D7" s="38"/>
      <c r="E7" s="38"/>
      <c r="F7" s="38"/>
      <c r="G7" s="39"/>
    </row>
    <row r="8">
      <c r="B8" s="51" t="s">
        <v>69</v>
      </c>
      <c r="C8" s="52">
        <v>1.0</v>
      </c>
      <c r="D8" s="44">
        <v>40000.0</v>
      </c>
      <c r="E8" s="45">
        <f t="shared" ref="E8:E13" si="1">C8*D8</f>
        <v>40000</v>
      </c>
      <c r="F8" s="46">
        <v>1.0</v>
      </c>
      <c r="G8" s="45">
        <f t="shared" ref="G8:G13" si="2">D8*C8*F8</f>
        <v>40000</v>
      </c>
    </row>
    <row r="9">
      <c r="B9" s="51" t="s">
        <v>70</v>
      </c>
      <c r="C9" s="52">
        <v>1.0</v>
      </c>
      <c r="D9" s="44">
        <v>15000.0</v>
      </c>
      <c r="E9" s="45">
        <f t="shared" si="1"/>
        <v>15000</v>
      </c>
      <c r="F9" s="46">
        <v>1.0</v>
      </c>
      <c r="G9" s="45">
        <f t="shared" si="2"/>
        <v>15000</v>
      </c>
    </row>
    <row r="10">
      <c r="B10" s="51" t="s">
        <v>71</v>
      </c>
      <c r="C10" s="43">
        <v>0.0</v>
      </c>
      <c r="D10" s="44">
        <v>0.0</v>
      </c>
      <c r="E10" s="45">
        <f t="shared" si="1"/>
        <v>0</v>
      </c>
      <c r="F10" s="46">
        <v>1.0</v>
      </c>
      <c r="G10" s="45">
        <f t="shared" si="2"/>
        <v>0</v>
      </c>
    </row>
    <row r="11">
      <c r="B11" s="51" t="s">
        <v>72</v>
      </c>
      <c r="C11" s="52">
        <v>1.0</v>
      </c>
      <c r="D11" s="44">
        <v>20000.0</v>
      </c>
      <c r="E11" s="45">
        <f t="shared" si="1"/>
        <v>20000</v>
      </c>
      <c r="F11" s="53">
        <v>1.0</v>
      </c>
      <c r="G11" s="45">
        <f t="shared" si="2"/>
        <v>20000</v>
      </c>
    </row>
    <row r="12">
      <c r="B12" s="51" t="s">
        <v>73</v>
      </c>
      <c r="C12" s="52">
        <v>1.0</v>
      </c>
      <c r="D12" s="44">
        <v>15000.0</v>
      </c>
      <c r="E12" s="45">
        <f t="shared" si="1"/>
        <v>15000</v>
      </c>
      <c r="F12" s="46">
        <v>1.0</v>
      </c>
      <c r="G12" s="45">
        <f t="shared" si="2"/>
        <v>15000</v>
      </c>
    </row>
    <row r="13">
      <c r="B13" s="54"/>
      <c r="C13" s="43">
        <v>0.0</v>
      </c>
      <c r="D13" s="44">
        <v>0.0</v>
      </c>
      <c r="E13" s="45">
        <f t="shared" si="1"/>
        <v>0</v>
      </c>
      <c r="F13" s="53">
        <v>1.0</v>
      </c>
      <c r="G13" s="45">
        <f t="shared" si="2"/>
        <v>0</v>
      </c>
    </row>
    <row r="14">
      <c r="B14" s="47" t="s">
        <v>74</v>
      </c>
      <c r="C14" s="48"/>
      <c r="D14" s="48"/>
      <c r="E14" s="48"/>
      <c r="F14" s="48"/>
      <c r="G14" s="49">
        <f>SUM(G8:G13)</f>
        <v>90000</v>
      </c>
    </row>
  </sheetData>
  <mergeCells count="3">
    <mergeCell ref="B2:G2"/>
    <mergeCell ref="B4:G4"/>
    <mergeCell ref="B7:G7"/>
  </mergeCells>
  <drawing r:id="rId1"/>
</worksheet>
</file>